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s Budg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<sst xmlns="http://schemas.openxmlformats.org/spreadsheetml/2006/main" count="148" uniqueCount="101">
  <si>
    <t xml:space="preserve">3-Stage Air-Breathing Launch System — Mass &amp; Payload Budget (Fermi Estimate) — Rev 3</t>
  </si>
  <si>
    <t xml:space="preserve">All blue cells are editable assumptions. Black cells are formulas. Change blue inputs to test scenarios.</t>
  </si>
  <si>
    <t xml:space="preserve">1. STAGE 1 — A380 CARRIER (SIDE-MOUNT, FUSELAGE-TO-INBOARD-ENGINE GAP)</t>
  </si>
  <si>
    <t xml:space="preserve">Parameter</t>
  </si>
  <si>
    <t xml:space="preserve">Value</t>
  </si>
  <si>
    <t xml:space="preserve">Unit</t>
  </si>
  <si>
    <t xml:space="preserve">Notes / Source</t>
  </si>
  <si>
    <t xml:space="preserve">A380F max internal cargo payload (reference only)</t>
  </si>
  <si>
    <t xml:space="preserve">kg</t>
  </si>
  <si>
    <t xml:space="preserve">Source: Airbus A380F marketing spec (increased-payload option). NOT applicable to external point loads — shown for reference only.</t>
  </si>
  <si>
    <t xml:space="preserve">Shuttle Carrier Aircraft (747) precedent — external dry payload</t>
  </si>
  <si>
    <t xml:space="preserve">Historical anchor point: 747 carried Orbiter (~75t dry) externally with major structural reinforcement, reduced speed/altitude.</t>
  </si>
  <si>
    <t xml:space="preserve">Assumed external top-mount capacity, reinforced A380</t>
  </si>
  <si>
    <t xml:space="preserve">KEY UNCERTAIN ASSUMPTION — needs real structural analysis. Stage 2 (8.5m wide) mounts in the ~9.5m gap between A380 fuselage and inboard engine nacelle. Carried inverted (inlet up) for ground clearance. Folding articulated arms guide release. Asymmetric load (~100t one side) requires fuel-burn trim compensation during carry flight.</t>
  </si>
  <si>
    <t xml:space="preserve">2. STAGE 2 — BOOSTER SIZING (Mach 0.85 → 2.5)</t>
  </si>
  <si>
    <t xml:space="preserve">Total stack mass at booster ignition (= A380 external limit)</t>
  </si>
  <si>
    <t xml:space="preserve">Booster delta-v: kinematic (Mach 0.85 → 2.5 at 10,700m)</t>
  </si>
  <si>
    <t xml:space="preserve">m/s</t>
  </si>
  <si>
    <t xml:space="preserve">V(Mach2.5)-V(Mach0.85) at 10,700m ISA. Speed of sound ~296m/s.</t>
  </si>
  <si>
    <t xml:space="preserve">Drag loss during transonic boost (~15s burn)</t>
  </si>
  <si>
    <t xml:space="preserve">Wave drag peaks in transonic. Estimated avg drag decel ~7.5 m/s2 × 15s. Rough estimate — real value needs aero model.</t>
  </si>
  <si>
    <t xml:space="preserve">Total booster delta-v required</t>
  </si>
  <si>
    <t xml:space="preserve">Solid booster Isp</t>
  </si>
  <si>
    <t xml:space="preserve">s</t>
  </si>
  <si>
    <t xml:space="preserve">HTPB composite solid typical. Range: 250s (low-end) to 285s (high-perf HTPB/AP/Al). Isp choice barely moves the needle — ~2% spread on total booster mass.</t>
  </si>
  <si>
    <t xml:space="preserve">Booster exhaust velocity (Isp × g0)</t>
  </si>
  <si>
    <t xml:space="preserve">Booster propellant mass (Tsiolkovsky, whole stack)</t>
  </si>
  <si>
    <t xml:space="preserve">Booster dry-mass fraction (casing, nozzle, igniter)</t>
  </si>
  <si>
    <t xml:space="preserve">frac</t>
  </si>
  <si>
    <t xml:space="preserve">Solid rockets typically 6-10% dry mass / propellant mass. 8% is mid-range.</t>
  </si>
  <si>
    <t xml:space="preserve">Booster dry mass (casing etc.)</t>
  </si>
  <si>
    <t xml:space="preserve">TOTAL BOOSTER MASS (jettisoned at Mach 2.5)</t>
  </si>
  <si>
    <t xml:space="preserve">Booster is JETTISONED after burnout — dry mass does not continue to ramjet phase. Roughly 21-22% of total stack.</t>
  </si>
  <si>
    <t xml:space="preserve">Stack mass after booster jettison (= ramjet ignition mass)</t>
  </si>
  <si>
    <t xml:space="preserve">Ramjet and all subsequent phases operate on this reduced mass — beneficial for ramjet acceleration efficiency.</t>
  </si>
  <si>
    <t xml:space="preserve">3. STAGE 2 — RAMJET CARRIER MASS SPLIT (post-booster-jettison vehicle)</t>
  </si>
  <si>
    <t xml:space="preserve">Vehicle mass at ramjet ignition (post-booster-jettison)</t>
  </si>
  <si>
    <t xml:space="preserve">Stage 2 hardware fraction (structure + TPS + engines + arms + clamp)</t>
  </si>
  <si>
    <t xml:space="preserve">KEY SENSITIVITY — bumped from 40% to 45% to reflect booster budget pressure (booster alone ~22% of original stack). Orange = high uncertainty. Waverider structure + Mach5 TPS + ramjet engines + folding arms + tow clamp.</t>
  </si>
  <si>
    <t xml:space="preserve">Stage 2 ramjet propellant fraction</t>
  </si>
  <si>
    <t xml:space="preserve">Ramjet fuel only (booster propellant already accounted for in Section 2). No return fuel needed — tow-cable recovery eliminates that mass.</t>
  </si>
  <si>
    <t xml:space="preserve">Stage 3 + payload fraction (at Mach5/20km separation)</t>
  </si>
  <si>
    <t xml:space="preserve">Stage 2 hardware mass</t>
  </si>
  <si>
    <t xml:space="preserve">Stage 2 ramjet propellant mass</t>
  </si>
  <si>
    <t xml:space="preserve">Mass at Stage 2/3 separation (Mach 5, 20 km)</t>
  </si>
  <si>
    <t xml:space="preserve">4. STAGE 3 — ROCKET PERFORMANCE TO LEO</t>
  </si>
  <si>
    <t xml:space="preserve">Total delta-v budget, ground launch to LEO (incl. losses)</t>
  </si>
  <si>
    <t xml:space="preserve">Typical figure for ground-launched LEO insertion including gravity/drag losses (~9.3-9.8 km/s range).</t>
  </si>
  <si>
    <t xml:space="preserve">Velocity already achieved by separation (Mach 5 @ 20km)</t>
  </si>
  <si>
    <t xml:space="preserve">Mach 5 ≈ 1.7 km/s (speed of sound ~340 m/s at sea level; similar at 20km in stratosphere).</t>
  </si>
  <si>
    <t xml:space="preserve">Loss reduction credit from high-altitude/speed start</t>
  </si>
  <si>
    <t xml:space="preserve">Remaining delta-v required from Stage 3</t>
  </si>
  <si>
    <t xml:space="preserve">Stage 3 propellant Isp</t>
  </si>
  <si>
    <t xml:space="preserve">LOX/LH2 class engine (e.g. RL10-class). Use ~300-320s if assuming storable/solid for the 'modular' option instead.</t>
  </si>
  <si>
    <t xml:space="preserve">Effective exhaust velocity (Isp * g0)</t>
  </si>
  <si>
    <t xml:space="preserve">Mass ratio (m0/mf) = EXP(dv/ve)</t>
  </si>
  <si>
    <t xml:space="preserve">-</t>
  </si>
  <si>
    <t xml:space="preserve">Stage 3 + payload mass (= mass at separation)</t>
  </si>
  <si>
    <t xml:space="preserve">Stage 3 propellant mass</t>
  </si>
  <si>
    <t xml:space="preserve">Stage 3 dry mass + payload (m0 - propellant)</t>
  </si>
  <si>
    <t xml:space="preserve">Stage 3 dry-mass fraction (structure/engine/avionics, % of propellant)</t>
  </si>
  <si>
    <t xml:space="preserve">Typical high-performance upper-stage dry mass is ~8-12% of its propellant load.</t>
  </si>
  <si>
    <t xml:space="preserve">Stage 3 dry mass (structure, engine, tanks, avionics)</t>
  </si>
  <si>
    <t xml:space="preserve">PAYLOAD TO LEO</t>
  </si>
  <si>
    <t xml:space="preserve">Payload to LEO, tonnes</t>
  </si>
  <si>
    <t xml:space="preserve">t</t>
  </si>
  <si>
    <t xml:space="preserve">5. SANITY CHECK — REFERENCE SYSTEM</t>
  </si>
  <si>
    <t xml:space="preserve">Pegasus XL total launch mass (air-launched, all-solid, no air-breathing stage)</t>
  </si>
  <si>
    <t xml:space="preserve">Pegasus XL payload to LEO</t>
  </si>
  <si>
    <t xml:space="preserve">Pegasus payload fraction (payload / launch mass)</t>
  </si>
  <si>
    <t xml:space="preserve">This model's payload fraction (payload / total A380 stack mass)</t>
  </si>
  <si>
    <t xml:space="preserve">This is a Fermi-level estimate for concept screening, not a design-grade mass budget. Key sensitivities: external mount limit (Sec.1), Stage 2 mass fractions (Sec.2), delta-v/Isp assumptions (Sec.3). Tweak blue cells to explore scenarios.</t>
  </si>
  <si>
    <t xml:space="preserve">6. STAGE 2 RECOVERY — TOW-CABLE ARCHITECTURE</t>
  </si>
  <si>
    <t xml:space="preserve">Value / Status</t>
  </si>
  <si>
    <t xml:space="preserve">Notes</t>
  </si>
  <si>
    <t xml:space="preserve">Recovery method</t>
  </si>
  <si>
    <t xml:space="preserve">A380 powered tow cable</t>
  </si>
  <si>
    <t xml:space="preserve">Eliminates glide-range constraint entirely. Recovery airport = wherever A380 can fly (~15,000 km range). No return propellant needed on Stage 2.</t>
  </si>
  <si>
    <t xml:space="preserve">Cable reel</t>
  </si>
  <si>
    <t xml:space="preserve">Powered, retractable, A380 tail-mount</t>
  </si>
  <si>
    <t xml:space="preserve">Adapted from military target-tow aircraft technology (scaled up in length and tension rating). Reel deploys and retrieves cable in-flight.</t>
  </si>
  <si>
    <t xml:space="preserve">Cable tension during tow (estimated)</t>
  </si>
  <si>
    <t xml:space="preserve">~50,000-80,000</t>
  </si>
  <si>
    <t xml:space="preserve">N</t>
  </si>
  <si>
    <t xml:space="preserve">Stage 2 aerodynamic drag at A380 cruise speed. Stage 2 dry mass ~40,000 kg; subsonic L/D ~5-7 assumed. Well within A380 thrust margin.</t>
  </si>
  <si>
    <t xml:space="preserve">Active drogue</t>
  </si>
  <si>
    <t xml:space="preserve">Weighted, drag-stabilised, sensor-equipped</t>
  </si>
  <si>
    <t xml:space="preserve">Hangs at cable end. Stabilises cable oscillation. Carries GPS + relative positioning; streams cable geometry data to Stage 2 guidance system. May include small control surfaces for active oscillation damping.</t>
  </si>
  <si>
    <t xml:space="preserve">Stage 2 clamp point</t>
  </si>
  <si>
    <t xml:space="preserve">Mid-cable (~70-80% from A380)</t>
  </si>
  <si>
    <t xml:space="preserve">Avoids high-oscillation cable tip. Mid-cable section has significantly lower amplitude oscillation than free end. Drogue stabilises geometry below the clamp point.</t>
  </si>
  <si>
    <t xml:space="preserve">Clamp mechanism</t>
  </si>
  <si>
    <t xml:space="preserve">Self-securing cam/scissor clamp</t>
  </si>
  <si>
    <t xml:space="preserve">Locks tighter under tow load (like mountaineering rope grab). Pyrotechnic or electromechanical release for final approach. Cable remains intact and reusable after release.</t>
  </si>
  <si>
    <t xml:space="preserve">Stage 2 approach geometry</t>
  </si>
  <si>
    <t xml:space="preserve">Below and behind A380, offset from wake</t>
  </si>
  <si>
    <t xml:space="preserve">Approach slightly above or below A380 wake plane to avoid turbulence at cable end. Guided by drogue telemetry. Energy management analogous to Shuttle unpowered approach but targeting a moving rendezvous point.</t>
  </si>
  <si>
    <t xml:space="preserve">Final landing</t>
  </si>
  <si>
    <t xml:space="preserve">Stage 2 releases cable, lands independently</t>
  </si>
  <si>
    <t xml:space="preserve">A380 reels in cable and drogue after release. Stage 2 executes unpowered approach to any suitable runway near destination. Landing gear, approach speed, and subsonic glide ratio not yet analysed — flagged as open item.</t>
  </si>
  <si>
    <t xml:space="preserve">Rev 3 changes vs Rev 2: Booster now explicit in Section 2 (Tsiolkovsky-sized solid rocket, Mach 0.85→2.5, ~21,700 kg total, jettisoned at ramjet ignition). Section 3 now operates on post-jettison mass (~78,000 kg). Stage 2 hardware fraction bumped 40%→45% (orange) to reflect booster budget pressure on remaining hardware. Core payload estimate revised — see Section 4.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</si>
</sst>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0.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2"/>
      <color rgb="FF006600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404040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6"/>
    <col collapsed="false" customWidth="true" hidden="false" outlineLevel="0" max="4" min="3" style="1" width="14"/>
    <col collapsed="false" customWidth="true" hidden="false" outlineLevel="0" max="5" min="5" style="1" width="50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/>
      <c r="E5" s="5" t="s">
        <v>6</v>
      </c>
    </row>
    <row r="6" customFormat="false" ht="15" hidden="false" customHeight="true" outlineLevel="0" collapsed="false">
      <c r="A6" s="1" t="s">
        <v>7</v>
      </c>
      <c r="B6" s="6" t="n">
        <v>158000</v>
      </c>
      <c r="C6" s="1" t="s">
        <v>8</v>
      </c>
      <c r="E6" s="3" t="s">
        <v>9</v>
      </c>
    </row>
    <row r="7" customFormat="false" ht="15" hidden="false" customHeight="true" outlineLevel="0" collapsed="false">
      <c r="A7" s="1" t="s">
        <v>10</v>
      </c>
      <c r="B7" s="6" t="n">
        <v>75000</v>
      </c>
      <c r="C7" s="1" t="s">
        <v>8</v>
      </c>
      <c r="E7" s="3" t="s">
        <v>11</v>
      </c>
    </row>
    <row r="8" customFormat="false" ht="15" hidden="false" customHeight="true" outlineLevel="0" collapsed="false">
      <c r="A8" s="1" t="s">
        <v>12</v>
      </c>
      <c r="B8" s="7" t="n">
        <v>100000</v>
      </c>
      <c r="C8" s="1" t="s">
        <v>8</v>
      </c>
      <c r="E8" s="3" t="s">
        <v>13</v>
      </c>
    </row>
    <row r="10" customFormat="false" ht="15" hidden="false" customHeight="true" outlineLevel="0" collapsed="false">
      <c r="A10" s="4" t="s">
        <v>14</v>
      </c>
      <c r="B10" s="4"/>
      <c r="C10" s="4"/>
      <c r="D10" s="4"/>
      <c r="E10" s="4"/>
    </row>
    <row r="11" customFormat="false" ht="15" hidden="false" customHeight="true" outlineLevel="0" collapsed="false">
      <c r="A11" s="5" t="s">
        <v>3</v>
      </c>
      <c r="B11" s="5" t="s">
        <v>4</v>
      </c>
      <c r="C11" s="5" t="s">
        <v>5</v>
      </c>
      <c r="D11" s="5"/>
      <c r="E11" s="5" t="s">
        <v>6</v>
      </c>
    </row>
    <row r="12" customFormat="false" ht="15" hidden="false" customHeight="true" outlineLevel="0" collapsed="false">
      <c r="A12" s="1" t="s">
        <v>15</v>
      </c>
      <c r="B12" s="8" t="n">
        <f aca="false">B8</f>
        <v>100000</v>
      </c>
      <c r="C12" s="1" t="s">
        <v>8</v>
      </c>
    </row>
    <row r="13" customFormat="false" ht="15" hidden="false" customHeight="true" outlineLevel="0" collapsed="false">
      <c r="A13" s="1" t="s">
        <v>16</v>
      </c>
      <c r="B13" s="6" t="n">
        <v>488</v>
      </c>
      <c r="C13" s="1" t="s">
        <v>17</v>
      </c>
      <c r="E13" s="3" t="s">
        <v>18</v>
      </c>
    </row>
    <row r="14" customFormat="false" ht="15" hidden="false" customHeight="true" outlineLevel="0" collapsed="false">
      <c r="A14" s="1" t="s">
        <v>19</v>
      </c>
      <c r="B14" s="6" t="n">
        <v>112</v>
      </c>
      <c r="C14" s="1" t="s">
        <v>17</v>
      </c>
      <c r="E14" s="3" t="s">
        <v>20</v>
      </c>
    </row>
    <row r="15" customFormat="false" ht="15" hidden="false" customHeight="true" outlineLevel="0" collapsed="false">
      <c r="A15" s="1" t="s">
        <v>21</v>
      </c>
      <c r="B15" s="9" t="n">
        <f aca="false">B13+B14</f>
        <v>600</v>
      </c>
      <c r="C15" s="1" t="s">
        <v>17</v>
      </c>
    </row>
    <row r="16" customFormat="false" ht="15" hidden="false" customHeight="true" outlineLevel="0" collapsed="false">
      <c r="A16" s="1" t="s">
        <v>22</v>
      </c>
      <c r="B16" s="6" t="n">
        <v>270</v>
      </c>
      <c r="C16" s="1" t="s">
        <v>23</v>
      </c>
      <c r="E16" s="3" t="s">
        <v>24</v>
      </c>
    </row>
    <row r="17" customFormat="false" ht="15" hidden="false" customHeight="true" outlineLevel="0" collapsed="false">
      <c r="A17" s="1" t="s">
        <v>25</v>
      </c>
      <c r="B17" s="8" t="n">
        <f aca="false">B16*9.81</f>
        <v>2648.7</v>
      </c>
      <c r="C17" s="1" t="s">
        <v>17</v>
      </c>
    </row>
    <row r="18" customFormat="false" ht="15" hidden="false" customHeight="true" outlineLevel="0" collapsed="false">
      <c r="A18" s="1" t="s">
        <v>26</v>
      </c>
      <c r="B18" s="8" t="n">
        <f aca="false">B12*(1-1/EXP(B15/B17))</f>
        <v>20270.1563452999</v>
      </c>
      <c r="C18" s="1" t="s">
        <v>8</v>
      </c>
    </row>
    <row r="19" customFormat="false" ht="15" hidden="false" customHeight="true" outlineLevel="0" collapsed="false">
      <c r="A19" s="1" t="s">
        <v>27</v>
      </c>
      <c r="B19" s="10" t="n">
        <v>0.08</v>
      </c>
      <c r="C19" s="1" t="s">
        <v>28</v>
      </c>
      <c r="E19" s="3" t="s">
        <v>29</v>
      </c>
    </row>
    <row r="20" customFormat="false" ht="15" hidden="false" customHeight="true" outlineLevel="0" collapsed="false">
      <c r="A20" s="1" t="s">
        <v>30</v>
      </c>
      <c r="B20" s="11" t="n">
        <f aca="false">B18*B19</f>
        <v>1621.61250762399</v>
      </c>
    </row>
    <row r="21" customFormat="false" ht="15" hidden="false" customHeight="true" outlineLevel="0" collapsed="false">
      <c r="A21" s="12" t="s">
        <v>31</v>
      </c>
      <c r="B21" s="13" t="n">
        <f aca="false">B18+B20</f>
        <v>21891.7688529239</v>
      </c>
      <c r="C21" s="1" t="s">
        <v>8</v>
      </c>
      <c r="E21" s="3" t="s">
        <v>32</v>
      </c>
    </row>
    <row r="22" customFormat="false" ht="15" hidden="false" customHeight="true" outlineLevel="0" collapsed="false">
      <c r="A22" s="1" t="s">
        <v>33</v>
      </c>
      <c r="B22" s="9" t="n">
        <f aca="false">B12-B21</f>
        <v>78108.2311470761</v>
      </c>
      <c r="C22" s="1" t="s">
        <v>8</v>
      </c>
      <c r="E22" s="3" t="s">
        <v>34</v>
      </c>
    </row>
    <row r="23" customFormat="false" ht="15" hidden="false" customHeight="true" outlineLevel="0" collapsed="false"/>
    <row r="24" customFormat="false" ht="15" hidden="false" customHeight="true" outlineLevel="0" collapsed="false">
      <c r="A24" s="4" t="s">
        <v>35</v>
      </c>
      <c r="B24" s="4"/>
      <c r="C24" s="4"/>
      <c r="D24" s="4"/>
      <c r="E24" s="4"/>
    </row>
    <row r="25" customFormat="false" ht="15" hidden="false" customHeight="true" outlineLevel="0" collapsed="false">
      <c r="A25" s="5" t="s">
        <v>3</v>
      </c>
      <c r="B25" s="5" t="s">
        <v>4</v>
      </c>
      <c r="C25" s="5" t="s">
        <v>5</v>
      </c>
      <c r="D25" s="5"/>
      <c r="E25" s="5" t="s">
        <v>6</v>
      </c>
    </row>
    <row r="26" customFormat="false" ht="15" hidden="false" customHeight="true" outlineLevel="0" collapsed="false">
      <c r="A26" s="1" t="s">
        <v>36</v>
      </c>
      <c r="B26" s="8" t="n">
        <f aca="false">B22</f>
        <v>78108.2311470761</v>
      </c>
      <c r="C26" s="1" t="s">
        <v>8</v>
      </c>
    </row>
    <row r="27" customFormat="false" ht="15" hidden="false" customHeight="true" outlineLevel="0" collapsed="false">
      <c r="A27" s="1" t="s">
        <v>37</v>
      </c>
      <c r="B27" s="14" t="n">
        <v>0.45</v>
      </c>
      <c r="C27" s="1" t="s">
        <v>28</v>
      </c>
      <c r="E27" s="3" t="s">
        <v>38</v>
      </c>
    </row>
    <row r="28" customFormat="false" ht="15" hidden="false" customHeight="true" outlineLevel="0" collapsed="false">
      <c r="A28" s="1" t="s">
        <v>39</v>
      </c>
      <c r="B28" s="10" t="n">
        <v>0.3</v>
      </c>
      <c r="C28" s="1" t="s">
        <v>28</v>
      </c>
      <c r="E28" s="3" t="s">
        <v>40</v>
      </c>
    </row>
    <row r="29" customFormat="false" ht="15" hidden="false" customHeight="true" outlineLevel="0" collapsed="false">
      <c r="A29" s="1" t="s">
        <v>41</v>
      </c>
      <c r="B29" s="15" t="n">
        <f aca="false">1-B27-B28</f>
        <v>0.25</v>
      </c>
      <c r="C29" s="1" t="s">
        <v>28</v>
      </c>
    </row>
    <row r="30" customFormat="false" ht="15" hidden="false" customHeight="true" outlineLevel="0" collapsed="false">
      <c r="A30" s="1" t="s">
        <v>42</v>
      </c>
      <c r="B30" s="8" t="n">
        <f aca="false">B26*B27</f>
        <v>35148.7040161842</v>
      </c>
      <c r="C30" s="1" t="s">
        <v>8</v>
      </c>
    </row>
    <row r="31" customFormat="false" ht="15" hidden="false" customHeight="true" outlineLevel="0" collapsed="false">
      <c r="A31" s="5" t="s">
        <v>43</v>
      </c>
      <c r="B31" s="16" t="n">
        <f aca="false">B26*B28</f>
        <v>23432.4693441228</v>
      </c>
      <c r="C31" s="5" t="s">
        <v>8</v>
      </c>
      <c r="D31" s="5"/>
      <c r="E31" s="5" t="s">
        <v>6</v>
      </c>
    </row>
    <row r="32" customFormat="false" ht="15" hidden="false" customHeight="true" outlineLevel="0" collapsed="false">
      <c r="A32" s="1" t="s">
        <v>44</v>
      </c>
      <c r="B32" s="9" t="n">
        <f aca="false">B26*B29</f>
        <v>19527.057786769</v>
      </c>
      <c r="C32" s="1" t="s">
        <v>8</v>
      </c>
    </row>
    <row r="33" customFormat="false" ht="15" hidden="false" customHeight="true" outlineLevel="0" collapsed="false">
      <c r="B33" s="10"/>
      <c r="E33" s="3"/>
    </row>
    <row r="34" customFormat="false" ht="15" hidden="false" customHeight="true" outlineLevel="0" collapsed="false">
      <c r="B34" s="10"/>
      <c r="E34" s="3"/>
    </row>
    <row r="35" customFormat="false" ht="15" hidden="false" customHeight="true" outlineLevel="0" collapsed="false">
      <c r="B35" s="15"/>
    </row>
    <row r="36" customFormat="false" ht="15" hidden="false" customHeight="true" outlineLevel="0" collapsed="false">
      <c r="B36" s="8"/>
    </row>
    <row r="37" customFormat="false" ht="15" hidden="false" customHeight="true" outlineLevel="0" collapsed="false"/>
    <row r="38" customFormat="false" ht="15" hidden="false" customHeight="true" outlineLevel="0" collapsed="false">
      <c r="B38" s="9"/>
    </row>
    <row r="39" customFormat="false" ht="15" hidden="false" customHeight="true" outlineLevel="0" collapsed="false"/>
    <row r="40" customFormat="false" ht="15" hidden="false" customHeight="true" outlineLevel="0" collapsed="false">
      <c r="A40" s="17" t="s">
        <v>45</v>
      </c>
    </row>
    <row r="41" customFormat="false" ht="15" hidden="false" customHeight="true" outlineLevel="0" collapsed="false">
      <c r="A41" s="5" t="s">
        <v>3</v>
      </c>
      <c r="B41" s="5" t="s">
        <v>4</v>
      </c>
      <c r="C41" s="5" t="s">
        <v>5</v>
      </c>
      <c r="D41" s="5"/>
      <c r="E41" s="5" t="s">
        <v>6</v>
      </c>
    </row>
    <row r="42" customFormat="false" ht="15" hidden="false" customHeight="true" outlineLevel="0" collapsed="false">
      <c r="A42" s="1" t="s">
        <v>46</v>
      </c>
      <c r="B42" s="6" t="n">
        <v>9500</v>
      </c>
      <c r="C42" s="1" t="s">
        <v>17</v>
      </c>
      <c r="E42" s="3" t="s">
        <v>47</v>
      </c>
    </row>
    <row r="43" customFormat="false" ht="15" hidden="false" customHeight="true" outlineLevel="0" collapsed="false">
      <c r="A43" s="1" t="s">
        <v>48</v>
      </c>
      <c r="B43" s="6" t="n">
        <v>1700</v>
      </c>
      <c r="C43" s="1" t="s">
        <v>17</v>
      </c>
      <c r="E43" s="3" t="s">
        <v>49</v>
      </c>
    </row>
    <row r="44" customFormat="false" ht="15" hidden="false" customHeight="true" outlineLevel="0" collapsed="false">
      <c r="A44" s="1" t="s">
        <v>50</v>
      </c>
      <c r="B44" s="6" t="n">
        <v>500</v>
      </c>
    </row>
    <row r="45" customFormat="false" ht="15" hidden="false" customHeight="true" outlineLevel="0" collapsed="false">
      <c r="A45" s="1" t="s">
        <v>51</v>
      </c>
      <c r="B45" s="8" t="n">
        <f aca="false">B42-B43-B44</f>
        <v>7300</v>
      </c>
    </row>
    <row r="46" customFormat="false" ht="15" hidden="false" customHeight="true" outlineLevel="0" collapsed="false">
      <c r="A46" s="1" t="s">
        <v>52</v>
      </c>
      <c r="B46" s="6" t="n">
        <v>440</v>
      </c>
      <c r="C46" s="1" t="s">
        <v>23</v>
      </c>
      <c r="E46" s="3" t="s">
        <v>53</v>
      </c>
    </row>
    <row r="47" customFormat="false" ht="15" hidden="false" customHeight="true" outlineLevel="0" collapsed="false">
      <c r="A47" s="1" t="s">
        <v>54</v>
      </c>
      <c r="B47" s="8" t="n">
        <f aca="false">B46*9.81</f>
        <v>4316.4</v>
      </c>
      <c r="C47" s="1" t="s">
        <v>17</v>
      </c>
    </row>
    <row r="48" customFormat="false" ht="15" hidden="false" customHeight="true" outlineLevel="0" collapsed="false">
      <c r="A48" s="1" t="s">
        <v>55</v>
      </c>
      <c r="B48" s="8" t="n">
        <f aca="false">EXP(B45/B47)</f>
        <v>5.42611912399187</v>
      </c>
      <c r="C48" s="1" t="s">
        <v>56</v>
      </c>
    </row>
    <row r="49" customFormat="false" ht="15" hidden="false" customHeight="true" outlineLevel="0" collapsed="false">
      <c r="A49" s="1" t="s">
        <v>57</v>
      </c>
      <c r="B49" s="15" t="n">
        <f aca="false">B32</f>
        <v>19527.057786769</v>
      </c>
      <c r="C49" s="1" t="s">
        <v>8</v>
      </c>
    </row>
    <row r="50" customFormat="false" ht="15" hidden="false" customHeight="true" outlineLevel="0" collapsed="false">
      <c r="A50" s="1" t="s">
        <v>58</v>
      </c>
      <c r="B50" s="8" t="n">
        <f aca="false">B49*(1-1/B48)</f>
        <v>15928.3425096884</v>
      </c>
      <c r="C50" s="1" t="s">
        <v>8</v>
      </c>
    </row>
    <row r="51" customFormat="false" ht="15" hidden="false" customHeight="true" outlineLevel="0" collapsed="false">
      <c r="A51" s="1" t="s">
        <v>59</v>
      </c>
      <c r="B51" s="18" t="n">
        <f aca="false">B49-B50</f>
        <v>3598.71527708066</v>
      </c>
      <c r="C51" s="1" t="s">
        <v>8</v>
      </c>
    </row>
    <row r="52" customFormat="false" ht="15" hidden="false" customHeight="true" outlineLevel="0" collapsed="false">
      <c r="A52" s="1" t="s">
        <v>60</v>
      </c>
      <c r="B52" s="10" t="n">
        <v>0.1</v>
      </c>
      <c r="C52" s="1" t="s">
        <v>28</v>
      </c>
      <c r="E52" s="3" t="s">
        <v>61</v>
      </c>
    </row>
    <row r="53" customFormat="false" ht="15" hidden="false" customHeight="true" outlineLevel="0" collapsed="false">
      <c r="A53" s="1" t="s">
        <v>62</v>
      </c>
      <c r="B53" s="8" t="n">
        <f aca="false">B50*B52</f>
        <v>1592.83425096884</v>
      </c>
      <c r="C53" s="1" t="s">
        <v>8</v>
      </c>
    </row>
    <row r="54" customFormat="false" ht="15" hidden="false" customHeight="true" outlineLevel="0" collapsed="false">
      <c r="A54" s="19" t="s">
        <v>63</v>
      </c>
      <c r="B54" s="20" t="n">
        <f aca="false">B51-B53</f>
        <v>2005.88102611182</v>
      </c>
      <c r="C54" s="1" t="s">
        <v>8</v>
      </c>
    </row>
    <row r="55" customFormat="false" ht="15" hidden="false" customHeight="true" outlineLevel="0" collapsed="false">
      <c r="A55" s="1" t="s">
        <v>64</v>
      </c>
      <c r="B55" s="21" t="n">
        <f aca="false">B54/1000</f>
        <v>2.00588102611182</v>
      </c>
      <c r="C55" s="1" t="s">
        <v>65</v>
      </c>
    </row>
    <row r="57" customFormat="false" ht="15" hidden="false" customHeight="true" outlineLevel="0" collapsed="false">
      <c r="A57" s="17" t="s">
        <v>66</v>
      </c>
    </row>
    <row r="58" customFormat="false" ht="15" hidden="false" customHeight="true" outlineLevel="0" collapsed="false">
      <c r="A58" s="5" t="s">
        <v>3</v>
      </c>
      <c r="B58" s="5" t="s">
        <v>4</v>
      </c>
      <c r="C58" s="5" t="s">
        <v>5</v>
      </c>
      <c r="D58" s="5"/>
      <c r="E58" s="5" t="s">
        <v>6</v>
      </c>
    </row>
    <row r="59" customFormat="false" ht="15" hidden="false" customHeight="true" outlineLevel="0" collapsed="false">
      <c r="A59" s="1" t="s">
        <v>67</v>
      </c>
      <c r="B59" s="6" t="n">
        <v>23000</v>
      </c>
      <c r="C59" s="1" t="s">
        <v>8</v>
      </c>
    </row>
    <row r="60" customFormat="false" ht="15" hidden="false" customHeight="true" outlineLevel="0" collapsed="false">
      <c r="A60" s="1" t="s">
        <v>68</v>
      </c>
      <c r="B60" s="6" t="n">
        <v>450</v>
      </c>
      <c r="C60" s="1" t="s">
        <v>8</v>
      </c>
    </row>
    <row r="61" customFormat="false" ht="15" hidden="false" customHeight="true" outlineLevel="0" collapsed="false">
      <c r="A61" s="1" t="s">
        <v>69</v>
      </c>
      <c r="B61" s="18" t="n">
        <f aca="false">B60/B59</f>
        <v>0.0195652173913044</v>
      </c>
    </row>
    <row r="62" customFormat="false" ht="15" hidden="false" customHeight="true" outlineLevel="0" collapsed="false">
      <c r="A62" s="1" t="s">
        <v>70</v>
      </c>
      <c r="B62" s="18" t="n">
        <f aca="false">B54/B8</f>
        <v>0.0200588102611182</v>
      </c>
    </row>
    <row r="64" customFormat="false" ht="15" hidden="false" customHeight="true" outlineLevel="0" collapsed="false">
      <c r="A64" s="3" t="s">
        <v>71</v>
      </c>
    </row>
    <row r="65" customFormat="false" ht="15" hidden="false" customHeight="true" outlineLevel="0" collapsed="false">
      <c r="A65" s="17" t="s">
        <v>72</v>
      </c>
    </row>
    <row r="66" customFormat="false" ht="15" hidden="false" customHeight="true" outlineLevel="0" collapsed="false">
      <c r="A66" s="5" t="s">
        <v>3</v>
      </c>
      <c r="B66" s="5" t="s">
        <v>73</v>
      </c>
      <c r="C66" s="5" t="s">
        <v>5</v>
      </c>
      <c r="D66" s="5"/>
      <c r="E66" s="5" t="s">
        <v>74</v>
      </c>
    </row>
    <row r="67" customFormat="false" ht="15" hidden="false" customHeight="true" outlineLevel="0" collapsed="false">
      <c r="A67" s="1" t="s">
        <v>75</v>
      </c>
      <c r="B67" s="1" t="s">
        <v>76</v>
      </c>
      <c r="E67" s="3" t="s">
        <v>77</v>
      </c>
    </row>
    <row r="68" customFormat="false" ht="15" hidden="false" customHeight="true" outlineLevel="0" collapsed="false">
      <c r="A68" s="1" t="s">
        <v>78</v>
      </c>
      <c r="B68" s="1" t="s">
        <v>79</v>
      </c>
      <c r="E68" s="3" t="s">
        <v>80</v>
      </c>
    </row>
    <row r="69" customFormat="false" ht="15" hidden="false" customHeight="true" outlineLevel="0" collapsed="false">
      <c r="A69" s="1" t="s">
        <v>81</v>
      </c>
      <c r="B69" s="1" t="s">
        <v>82</v>
      </c>
      <c r="C69" s="1" t="s">
        <v>83</v>
      </c>
      <c r="E69" s="3" t="s">
        <v>84</v>
      </c>
    </row>
    <row r="70" customFormat="false" ht="15" hidden="false" customHeight="true" outlineLevel="0" collapsed="false">
      <c r="A70" s="1" t="s">
        <v>85</v>
      </c>
      <c r="B70" s="1" t="s">
        <v>86</v>
      </c>
      <c r="E70" s="3" t="s">
        <v>87</v>
      </c>
    </row>
    <row r="71" customFormat="false" ht="15" hidden="false" customHeight="true" outlineLevel="0" collapsed="false">
      <c r="A71" s="1" t="s">
        <v>88</v>
      </c>
      <c r="B71" s="1" t="s">
        <v>89</v>
      </c>
      <c r="E71" s="3" t="s">
        <v>90</v>
      </c>
    </row>
    <row r="72" customFormat="false" ht="15" hidden="false" customHeight="true" outlineLevel="0" collapsed="false">
      <c r="A72" s="1" t="s">
        <v>91</v>
      </c>
      <c r="B72" s="1" t="s">
        <v>92</v>
      </c>
      <c r="E72" s="3" t="s">
        <v>93</v>
      </c>
    </row>
    <row r="73" customFormat="false" ht="15" hidden="false" customHeight="true" outlineLevel="0" collapsed="false">
      <c r="A73" s="1" t="s">
        <v>94</v>
      </c>
      <c r="B73" s="1" t="s">
        <v>95</v>
      </c>
      <c r="E73" s="3" t="s">
        <v>96</v>
      </c>
    </row>
    <row r="74" customFormat="false" ht="15" hidden="false" customHeight="true" outlineLevel="0" collapsed="false">
      <c r="A74" s="1" t="s">
        <v>97</v>
      </c>
      <c r="B74" s="1" t="s">
        <v>98</v>
      </c>
      <c r="E74" s="3" t="s">
        <v>99</v>
      </c>
    </row>
    <row r="75" customFormat="false" ht="15" hidden="false" customHeight="true" outlineLevel="0" collapsed="false">
      <c r="A75" s="3" t="s">
        <v>100</v>
      </c>
    </row>
  </sheetData>
  <mergeCells count="4">
    <mergeCell ref="A1:E1"/>
    <mergeCell ref="A4:E4"/>
    <mergeCell ref="A10:E10"/>
    <mergeCell ref="A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2026-06-26T09:34:25Z</dcterms:created>
  <dc:creator>openpyxl</dc:creator>
  <dc:description/>
  <dc:language>en-US</dc:language>
  <cp:lastModifiedBy/>
  <dcterms:modified xsi:type="dcterms:W3CDTF">2026-07-06T11:16:50Z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