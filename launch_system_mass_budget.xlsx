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s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<sst xmlns="http://schemas.openxmlformats.org/spreadsheetml/2006/main" count="86" uniqueCount="54">
  <si>
    <t xml:space="preserve">3-Stage Air-Breathing Launch System — Mass &amp; Payload Budget (Fermi Estimate)</t>
  </si>
  <si>
    <t xml:space="preserve">All blue cells are editable assumptions. Black cells are formulas. Change blue inputs to test scenarios.</t>
  </si>
  <si>
    <t xml:space="preserve">1. STAGE 1 — A380 EXTERNAL TOP-MOUNT CAPACITY</t>
  </si>
  <si>
    <t xml:space="preserve">Parameter</t>
  </si>
  <si>
    <t xml:space="preserve">Value</t>
  </si>
  <si>
    <t xml:space="preserve">Unit</t>
  </si>
  <si>
    <t xml:space="preserve">Notes / Source</t>
  </si>
  <si>
    <t xml:space="preserve">A380F max internal cargo payload (reference only)</t>
  </si>
  <si>
    <t xml:space="preserve">kg</t>
  </si>
  <si>
    <t xml:space="preserve">Source: Airbus A380F marketing spec (increased-payload option). NOT applicable to external point loads — shown for reference only.</t>
  </si>
  <si>
    <t xml:space="preserve">Shuttle Carrier Aircraft (747) precedent — external dry payload</t>
  </si>
  <si>
    <t xml:space="preserve">Historical anchor point: 747 carried Orbiter (~75t dry) externally with major structural reinforcement, reduced speed/altitude.</t>
  </si>
  <si>
    <t xml:space="preserve">Assumed external top-mount capacity, reinforced A380</t>
  </si>
  <si>
    <t xml:space="preserve">KEY UNCERTAIN ASSUMPTION — needs real structural analysis. This is the single most important number in the whole model.</t>
  </si>
  <si>
    <t xml:space="preserve">2. STAGE 2 — RAMJET CARRIER MASS SPLIT</t>
  </si>
  <si>
    <t xml:space="preserve">Total stack carried by A380 (Stage 2 + Stage 3 + payload)</t>
  </si>
  <si>
    <t xml:space="preserve">Stage 2 structure/engines/TPS/booster fraction</t>
  </si>
  <si>
    <t xml:space="preserve">frac</t>
  </si>
  <si>
    <t xml:space="preserve">Judgment estimate, scaled from demonstrator vehicles (X-43/X-51 proportions). Real design could be heavier (TPS is notoriously heavy).</t>
  </si>
  <si>
    <t xml:space="preserve">Stage 2 propellant fraction (booster + ramjet fuel)</t>
  </si>
  <si>
    <t xml:space="preserve">Stage 3 + payload fraction (carried at separation)</t>
  </si>
  <si>
    <t xml:space="preserve">Stage 2 structure/engine/TPS mass</t>
  </si>
  <si>
    <t xml:space="preserve">Stage 2 propellant mass</t>
  </si>
  <si>
    <t xml:space="preserve">Mass at Stage2/Stage3 separation (Mach 5, 20 km)</t>
  </si>
  <si>
    <t xml:space="preserve">3. STAGE 3 — ROCKET PERFORMANCE TO LEO</t>
  </si>
  <si>
    <t xml:space="preserve">Total delta-v budget, ground launch to LEO (incl. losses)</t>
  </si>
  <si>
    <t xml:space="preserve">m/s</t>
  </si>
  <si>
    <t xml:space="preserve">Typical figure for ground-launched LEO insertion including gravity/drag losses (~9.3-9.8 km/s range).</t>
  </si>
  <si>
    <t xml:space="preserve">Velocity already achieved by separation (Mach 5 @ 20km)</t>
  </si>
  <si>
    <t xml:space="preserve">Mach 5 ≈ 1.7 km/s (speed of sound ~340 m/s at sea level; similar at 20km in stratosphere).</t>
  </si>
  <si>
    <t xml:space="preserve">Loss reduction credit from high-altitude/speed start</t>
  </si>
  <si>
    <t xml:space="preserve">Starting above the densest atmosphere and already supersonic reduces drag &amp; gravity losses vs. ground launch.</t>
  </si>
  <si>
    <t xml:space="preserve">Remaining delta-v required from Stage 3</t>
  </si>
  <si>
    <t xml:space="preserve">Stage 3 propellant Isp</t>
  </si>
  <si>
    <t xml:space="preserve">s</t>
  </si>
  <si>
    <t xml:space="preserve">LOX/LH2 class engine (e.g. RL10-class). Use ~300-320s if assuming storable/solid for the 'modular' option instead.</t>
  </si>
  <si>
    <t xml:space="preserve">Effective exhaust velocity (Isp * g0)</t>
  </si>
  <si>
    <t xml:space="preserve">Mass ratio (m0/mf) = EXP(dv/ve)</t>
  </si>
  <si>
    <t xml:space="preserve">-</t>
  </si>
  <si>
    <t xml:space="preserve">Stage 3 + payload mass (= mass at separation)</t>
  </si>
  <si>
    <t xml:space="preserve">Stage 3 propellant mass</t>
  </si>
  <si>
    <t xml:space="preserve">Stage 3 dry mass + payload (m0 - propellant)</t>
  </si>
  <si>
    <t xml:space="preserve">Stage 3 dry-mass fraction (structure/engine/avionics, % of propellant)</t>
  </si>
  <si>
    <t xml:space="preserve">Typical high-performance upper-stage dry mass is ~8-12% of its propellant load.</t>
  </si>
  <si>
    <t xml:space="preserve">Stage 3 dry mass (structure, engine, tanks, avionics)</t>
  </si>
  <si>
    <t xml:space="preserve">PAYLOAD TO LEO</t>
  </si>
  <si>
    <t xml:space="preserve">Payload to LEO, tonnes</t>
  </si>
  <si>
    <t xml:space="preserve">t</t>
  </si>
  <si>
    <t xml:space="preserve">4. SANITY CHECK — REFERENCE SYSTEM</t>
  </si>
  <si>
    <t xml:space="preserve">Pegasus XL total launch mass (air-launched, all-solid, no air-breathing stage)</t>
  </si>
  <si>
    <t xml:space="preserve">Pegasus XL payload to LEO</t>
  </si>
  <si>
    <t xml:space="preserve">Pegasus payload fraction (payload / launch mass)</t>
  </si>
  <si>
    <t xml:space="preserve">This model's payload fraction (payload / total A380 stack mass)</t>
  </si>
  <si>
    <t xml:space="preserve">This is a Fermi-level estimate for concept screening, not a design-grade mass budget. Key sensitivities: external mount limit (Sec.1), Stage 2 mass fractions (Sec.2), delta-v/Isp assumptions (Sec.3). Tweak blue cells to explore scenarios.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</si>
</sst>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006600"/>
      <name val="Cambria"/>
      <family val="0"/>
      <charset val="1"/>
    </font>
    <font>
      <b val="true"/>
      <sz val="11"/>
      <color rgb="FF0066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404040"/>
        <bgColor rgb="FF3333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/>
      <c r="E5" s="4" t="s">
        <v>6</v>
      </c>
    </row>
    <row r="6" customFormat="false" ht="15" hidden="false" customHeight="false" outlineLevel="0" collapsed="false">
      <c r="A6" s="0" t="s">
        <v>7</v>
      </c>
      <c r="B6" s="5" t="n">
        <v>158000</v>
      </c>
      <c r="C6" s="6" t="s">
        <v>8</v>
      </c>
      <c r="E6" s="2" t="s">
        <v>9</v>
      </c>
    </row>
    <row r="7" customFormat="false" ht="15" hidden="false" customHeight="false" outlineLevel="0" collapsed="false">
      <c r="A7" s="0" t="s">
        <v>10</v>
      </c>
      <c r="B7" s="5" t="n">
        <v>75000</v>
      </c>
      <c r="C7" s="6" t="s">
        <v>8</v>
      </c>
      <c r="E7" s="2" t="s">
        <v>11</v>
      </c>
    </row>
    <row r="8" customFormat="false" ht="15" hidden="false" customHeight="false" outlineLevel="0" collapsed="false">
      <c r="A8" s="0" t="s">
        <v>12</v>
      </c>
      <c r="B8" s="7" t="n">
        <v>100000</v>
      </c>
      <c r="C8" s="6" t="s">
        <v>8</v>
      </c>
      <c r="E8" s="2" t="s">
        <v>13</v>
      </c>
    </row>
    <row r="10" customFormat="false" ht="15" hidden="false" customHeight="false" outlineLevel="0" collapsed="false">
      <c r="A10" s="3" t="s">
        <v>14</v>
      </c>
      <c r="B10" s="3"/>
      <c r="C10" s="3"/>
      <c r="D10" s="3"/>
      <c r="E10" s="3"/>
    </row>
    <row r="11" customFormat="false" ht="15" hidden="false" customHeight="false" outlineLevel="0" collapsed="false">
      <c r="A11" s="4" t="s">
        <v>3</v>
      </c>
      <c r="B11" s="4" t="s">
        <v>4</v>
      </c>
      <c r="C11" s="4" t="s">
        <v>5</v>
      </c>
      <c r="D11" s="4"/>
      <c r="E11" s="4" t="s">
        <v>6</v>
      </c>
    </row>
    <row r="12" customFormat="false" ht="15" hidden="false" customHeight="false" outlineLevel="0" collapsed="false">
      <c r="A12" s="0" t="s">
        <v>15</v>
      </c>
      <c r="B12" s="8" t="n">
        <f aca="false">B8</f>
        <v>100000</v>
      </c>
      <c r="C12" s="6" t="s">
        <v>8</v>
      </c>
    </row>
    <row r="13" customFormat="false" ht="15" hidden="false" customHeight="false" outlineLevel="0" collapsed="false">
      <c r="A13" s="0" t="s">
        <v>16</v>
      </c>
      <c r="B13" s="9" t="n">
        <v>0.4</v>
      </c>
      <c r="C13" s="6" t="s">
        <v>17</v>
      </c>
      <c r="E13" s="2" t="s">
        <v>18</v>
      </c>
    </row>
    <row r="14" customFormat="false" ht="15" hidden="false" customHeight="false" outlineLevel="0" collapsed="false">
      <c r="A14" s="0" t="s">
        <v>19</v>
      </c>
      <c r="B14" s="9" t="n">
        <v>0.3</v>
      </c>
      <c r="C14" s="6" t="s">
        <v>17</v>
      </c>
    </row>
    <row r="15" customFormat="false" ht="15" hidden="false" customHeight="false" outlineLevel="0" collapsed="false">
      <c r="A15" s="0" t="s">
        <v>20</v>
      </c>
      <c r="B15" s="10" t="n">
        <f aca="false">1-B13-B14</f>
        <v>0.3</v>
      </c>
      <c r="C15" s="6" t="s">
        <v>17</v>
      </c>
    </row>
    <row r="16" customFormat="false" ht="15" hidden="false" customHeight="false" outlineLevel="0" collapsed="false">
      <c r="A16" s="0" t="s">
        <v>21</v>
      </c>
      <c r="B16" s="8" t="n">
        <f aca="false">B12*B13</f>
        <v>40000</v>
      </c>
      <c r="C16" s="6" t="s">
        <v>8</v>
      </c>
    </row>
    <row r="17" customFormat="false" ht="15" hidden="false" customHeight="false" outlineLevel="0" collapsed="false">
      <c r="A17" s="0" t="s">
        <v>22</v>
      </c>
      <c r="B17" s="8" t="n">
        <f aca="false">B12*B14</f>
        <v>30000</v>
      </c>
      <c r="C17" s="6" t="s">
        <v>8</v>
      </c>
    </row>
    <row r="18" customFormat="false" ht="15" hidden="false" customHeight="false" outlineLevel="0" collapsed="false">
      <c r="A18" s="0" t="s">
        <v>23</v>
      </c>
      <c r="B18" s="11" t="n">
        <f aca="false">B12*B15</f>
        <v>30000</v>
      </c>
      <c r="C18" s="6" t="s">
        <v>8</v>
      </c>
    </row>
    <row r="20" customFormat="false" ht="15" hidden="false" customHeight="false" outlineLevel="0" collapsed="false">
      <c r="A20" s="3" t="s">
        <v>24</v>
      </c>
      <c r="B20" s="3"/>
      <c r="C20" s="3"/>
      <c r="D20" s="3"/>
      <c r="E20" s="3"/>
    </row>
    <row r="21" customFormat="false" ht="15" hidden="false" customHeight="false" outlineLevel="0" collapsed="false">
      <c r="A21" s="4" t="s">
        <v>3</v>
      </c>
      <c r="B21" s="4" t="s">
        <v>4</v>
      </c>
      <c r="C21" s="4" t="s">
        <v>5</v>
      </c>
      <c r="D21" s="4"/>
      <c r="E21" s="4" t="s">
        <v>6</v>
      </c>
    </row>
    <row r="22" customFormat="false" ht="15" hidden="false" customHeight="false" outlineLevel="0" collapsed="false">
      <c r="A22" s="0" t="s">
        <v>25</v>
      </c>
      <c r="B22" s="5" t="n">
        <v>9500</v>
      </c>
      <c r="C22" s="6" t="s">
        <v>26</v>
      </c>
      <c r="E22" s="2" t="s">
        <v>27</v>
      </c>
    </row>
    <row r="23" customFormat="false" ht="15" hidden="false" customHeight="false" outlineLevel="0" collapsed="false">
      <c r="A23" s="0" t="s">
        <v>28</v>
      </c>
      <c r="B23" s="5" t="n">
        <v>1700</v>
      </c>
      <c r="C23" s="6" t="s">
        <v>26</v>
      </c>
      <c r="E23" s="2" t="s">
        <v>29</v>
      </c>
    </row>
    <row r="24" customFormat="false" ht="15" hidden="false" customHeight="false" outlineLevel="0" collapsed="false">
      <c r="A24" s="0" t="s">
        <v>30</v>
      </c>
      <c r="B24" s="5" t="n">
        <v>500</v>
      </c>
      <c r="C24" s="6" t="s">
        <v>26</v>
      </c>
      <c r="E24" s="2" t="s">
        <v>31</v>
      </c>
    </row>
    <row r="25" customFormat="false" ht="15" hidden="false" customHeight="false" outlineLevel="0" collapsed="false">
      <c r="A25" s="0" t="s">
        <v>32</v>
      </c>
      <c r="B25" s="11" t="n">
        <f aca="false">B22-B23-B24</f>
        <v>7300</v>
      </c>
      <c r="C25" s="6" t="s">
        <v>26</v>
      </c>
    </row>
    <row r="26" customFormat="false" ht="15" hidden="false" customHeight="false" outlineLevel="0" collapsed="false">
      <c r="A26" s="0" t="s">
        <v>33</v>
      </c>
      <c r="B26" s="5" t="n">
        <v>440</v>
      </c>
      <c r="C26" s="6" t="s">
        <v>34</v>
      </c>
      <c r="E26" s="2" t="s">
        <v>35</v>
      </c>
    </row>
    <row r="27" customFormat="false" ht="15" hidden="false" customHeight="false" outlineLevel="0" collapsed="false">
      <c r="A27" s="0" t="s">
        <v>36</v>
      </c>
      <c r="B27" s="8" t="n">
        <f aca="false">B26*9.81</f>
        <v>4316.4</v>
      </c>
      <c r="C27" s="6" t="s">
        <v>26</v>
      </c>
    </row>
    <row r="28" customFormat="false" ht="15" hidden="false" customHeight="false" outlineLevel="0" collapsed="false">
      <c r="A28" s="0" t="s">
        <v>37</v>
      </c>
      <c r="B28" s="8" t="n">
        <f aca="false">EXP(B25/B27)</f>
        <v>5.42611912399187</v>
      </c>
      <c r="C28" s="6" t="s">
        <v>38</v>
      </c>
    </row>
    <row r="29" customFormat="false" ht="15" hidden="false" customHeight="false" outlineLevel="0" collapsed="false">
      <c r="A29" s="0" t="s">
        <v>39</v>
      </c>
      <c r="B29" s="8" t="n">
        <f aca="false">B18</f>
        <v>30000</v>
      </c>
      <c r="C29" s="6" t="s">
        <v>8</v>
      </c>
    </row>
    <row r="30" customFormat="false" ht="15" hidden="false" customHeight="false" outlineLevel="0" collapsed="false">
      <c r="A30" s="0" t="s">
        <v>40</v>
      </c>
      <c r="B30" s="8" t="n">
        <f aca="false">B29*(1-1/B28)</f>
        <v>24471.186622617</v>
      </c>
      <c r="C30" s="6" t="s">
        <v>8</v>
      </c>
    </row>
    <row r="31" customFormat="false" ht="15" hidden="false" customHeight="false" outlineLevel="0" collapsed="false">
      <c r="A31" s="0" t="s">
        <v>41</v>
      </c>
      <c r="B31" s="8" t="n">
        <f aca="false">B29-B30</f>
        <v>5528.81337738301</v>
      </c>
      <c r="C31" s="6" t="s">
        <v>8</v>
      </c>
    </row>
    <row r="32" customFormat="false" ht="15" hidden="false" customHeight="false" outlineLevel="0" collapsed="false">
      <c r="A32" s="0" t="s">
        <v>42</v>
      </c>
      <c r="B32" s="9" t="n">
        <v>0.1</v>
      </c>
      <c r="C32" s="6" t="s">
        <v>17</v>
      </c>
      <c r="E32" s="2" t="s">
        <v>43</v>
      </c>
    </row>
    <row r="33" customFormat="false" ht="15" hidden="false" customHeight="false" outlineLevel="0" collapsed="false">
      <c r="A33" s="0" t="s">
        <v>44</v>
      </c>
      <c r="B33" s="8" t="n">
        <f aca="false">B30*B32</f>
        <v>2447.1186622617</v>
      </c>
      <c r="C33" s="6" t="s">
        <v>8</v>
      </c>
    </row>
    <row r="34" customFormat="false" ht="15" hidden="false" customHeight="false" outlineLevel="0" collapsed="false">
      <c r="A34" s="12" t="s">
        <v>45</v>
      </c>
      <c r="B34" s="13" t="n">
        <f aca="false">B31-B33</f>
        <v>3081.69471512131</v>
      </c>
      <c r="C34" s="6" t="s">
        <v>8</v>
      </c>
    </row>
    <row r="35" customFormat="false" ht="15" hidden="false" customHeight="false" outlineLevel="0" collapsed="false">
      <c r="A35" s="0" t="s">
        <v>46</v>
      </c>
      <c r="B35" s="14" t="n">
        <f aca="false">B34/1000</f>
        <v>3.08169471512131</v>
      </c>
      <c r="C35" s="6" t="s">
        <v>47</v>
      </c>
    </row>
    <row r="37" customFormat="false" ht="15" hidden="false" customHeight="false" outlineLevel="0" collapsed="false">
      <c r="A37" s="3" t="s">
        <v>48</v>
      </c>
      <c r="B37" s="3"/>
      <c r="C37" s="3"/>
      <c r="D37" s="3"/>
      <c r="E37" s="3"/>
    </row>
    <row r="38" customFormat="false" ht="15" hidden="false" customHeight="false" outlineLevel="0" collapsed="false">
      <c r="A38" s="4" t="s">
        <v>3</v>
      </c>
      <c r="B38" s="4" t="s">
        <v>4</v>
      </c>
      <c r="C38" s="4" t="s">
        <v>5</v>
      </c>
      <c r="D38" s="4"/>
      <c r="E38" s="4" t="s">
        <v>6</v>
      </c>
    </row>
    <row r="39" customFormat="false" ht="15" hidden="false" customHeight="false" outlineLevel="0" collapsed="false">
      <c r="A39" s="0" t="s">
        <v>49</v>
      </c>
      <c r="B39" s="5" t="n">
        <v>23000</v>
      </c>
      <c r="C39" s="6" t="s">
        <v>8</v>
      </c>
    </row>
    <row r="40" customFormat="false" ht="15" hidden="false" customHeight="false" outlineLevel="0" collapsed="false">
      <c r="A40" s="0" t="s">
        <v>50</v>
      </c>
      <c r="B40" s="5" t="n">
        <v>450</v>
      </c>
      <c r="C40" s="6" t="s">
        <v>8</v>
      </c>
    </row>
    <row r="41" customFormat="false" ht="15" hidden="false" customHeight="false" outlineLevel="0" collapsed="false">
      <c r="A41" s="0" t="s">
        <v>51</v>
      </c>
      <c r="B41" s="15" t="n">
        <f aca="false">B40/B39</f>
        <v>0.0195652173913044</v>
      </c>
    </row>
    <row r="42" customFormat="false" ht="15" hidden="false" customHeight="false" outlineLevel="0" collapsed="false">
      <c r="A42" s="0" t="s">
        <v>52</v>
      </c>
      <c r="B42" s="15" t="n">
        <f aca="false">B34/B12</f>
        <v>0.0308169471512131</v>
      </c>
    </row>
    <row r="44" customFormat="false" ht="15" hidden="false" customHeight="false" outlineLevel="0" collapsed="false">
      <c r="A44" s="16" t="s">
        <v>53</v>
      </c>
      <c r="B44" s="16"/>
      <c r="C44" s="16"/>
      <c r="D44" s="16"/>
      <c r="E44" s="16"/>
    </row>
  </sheetData>
  <mergeCells count="6">
    <mergeCell ref="A1:E1"/>
    <mergeCell ref="A4:E4"/>
    <mergeCell ref="A10:E10"/>
    <mergeCell ref="A20:E20"/>
    <mergeCell ref="A37:E37"/>
    <mergeCell ref="A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2026-06-26T09:34:25Z</dcterms:created>
  <dc:creator>openpyxl</dc:creator>
  <dc:description/>
  <dc:language>en-US</dc:language>
  <cp:lastModifiedBy/>
  <dcterms:modified xsi:type="dcterms:W3CDTF">2026-06-26T09:34:25Z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